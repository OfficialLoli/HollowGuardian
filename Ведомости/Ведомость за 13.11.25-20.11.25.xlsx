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HollowGuardian\Ведомости\"/>
    </mc:Choice>
  </mc:AlternateContent>
  <bookViews>
    <workbookView xWindow="0" yWindow="0" windowWidth="28800" windowHeight="13020"/>
  </bookViews>
  <sheets>
    <sheet name="Ведомость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" l="1"/>
  <c r="F26" i="1"/>
  <c r="F29" i="1"/>
  <c r="F28" i="1"/>
  <c r="F35" i="1"/>
  <c r="F34" i="1"/>
  <c r="F17" i="1"/>
  <c r="E54" i="1"/>
  <c r="E53" i="1"/>
  <c r="E52" i="1"/>
  <c r="E51" i="1"/>
  <c r="F41" i="1" l="1"/>
  <c r="F18" i="1"/>
  <c r="F19" i="1"/>
  <c r="F20" i="1"/>
  <c r="F21" i="1"/>
  <c r="F23" i="1"/>
  <c r="F24" i="1"/>
  <c r="F25" i="1"/>
  <c r="F27" i="1"/>
  <c r="F30" i="1"/>
  <c r="F31" i="1"/>
  <c r="F32" i="1"/>
  <c r="F33" i="1"/>
  <c r="F37" i="1"/>
  <c r="F38" i="1"/>
  <c r="F39" i="1"/>
  <c r="F40" i="1"/>
  <c r="D55" i="1" l="1"/>
  <c r="E55" i="1" s="1"/>
  <c r="E49" i="1" l="1"/>
  <c r="E48" i="1"/>
</calcChain>
</file>

<file path=xl/sharedStrings.xml><?xml version="1.0" encoding="utf-8"?>
<sst xmlns="http://schemas.openxmlformats.org/spreadsheetml/2006/main" count="208" uniqueCount="105">
  <si>
    <t>№ п/п</t>
  </si>
  <si>
    <t>Должность</t>
  </si>
  <si>
    <t>Никнейм</t>
  </si>
  <si>
    <t>Показания по урону: общее</t>
  </si>
  <si>
    <t>Пропуски</t>
  </si>
  <si>
    <t>Voldegord</t>
  </si>
  <si>
    <t>CM_0364th</t>
  </si>
  <si>
    <t>Лолька</t>
  </si>
  <si>
    <t>PAZUZU</t>
  </si>
  <si>
    <t>Шлююююха</t>
  </si>
  <si>
    <t>Ashama</t>
  </si>
  <si>
    <t>Demitrou</t>
  </si>
  <si>
    <t>Фенол</t>
  </si>
  <si>
    <t>Богдан</t>
  </si>
  <si>
    <t>Plt712h</t>
  </si>
  <si>
    <t>Xazariel</t>
  </si>
  <si>
    <t>Kagerou</t>
  </si>
  <si>
    <t>Вольджи</t>
  </si>
  <si>
    <t>Redison</t>
  </si>
  <si>
    <t>Каору</t>
  </si>
  <si>
    <t>Ashiok</t>
  </si>
  <si>
    <t>Belizna</t>
  </si>
  <si>
    <t>TOI1338B</t>
  </si>
  <si>
    <t>ValRaM</t>
  </si>
  <si>
    <t>NordskNord</t>
  </si>
  <si>
    <t>Богиня</t>
  </si>
  <si>
    <t>Kongo</t>
  </si>
  <si>
    <t>zloy</t>
  </si>
  <si>
    <t>Rubik</t>
  </si>
  <si>
    <t>Negotive</t>
  </si>
  <si>
    <t>Офицер</t>
  </si>
  <si>
    <t>Глава</t>
  </si>
  <si>
    <t>Участник</t>
  </si>
  <si>
    <t>Общая оценка за рейд</t>
  </si>
  <si>
    <t>Примечание</t>
  </si>
  <si>
    <t>Ведомость</t>
  </si>
  <si>
    <t>Учёта результата рейда за:</t>
  </si>
  <si>
    <t>Топ рейда:</t>
  </si>
  <si>
    <t>Раунд:</t>
  </si>
  <si>
    <t>Ведомость заполнена:</t>
  </si>
  <si>
    <t>По списку</t>
  </si>
  <si>
    <t>Проверено:</t>
  </si>
  <si>
    <t>Из них получили оценки:</t>
  </si>
  <si>
    <t>Отлично</t>
  </si>
  <si>
    <t>Хорошо</t>
  </si>
  <si>
    <t>Удовлетворительно</t>
  </si>
  <si>
    <t>Неудовлетворительно</t>
  </si>
  <si>
    <t>Общая оценка:</t>
  </si>
  <si>
    <t>Положительные оценки:</t>
  </si>
  <si>
    <t>Офицер гильдии HollowGuardian:</t>
  </si>
  <si>
    <t>Ведомость была составлена:</t>
  </si>
  <si>
    <t>Место для штампа</t>
  </si>
  <si>
    <t>Глава гильдии HollowGuardian:        CM_0364th</t>
  </si>
  <si>
    <t>Ведомость была проверена:</t>
  </si>
  <si>
    <t>УТВЕРЖДАЮ</t>
  </si>
  <si>
    <t xml:space="preserve">Главным по внутренним делам  </t>
  </si>
  <si>
    <t>на серверe: Империум РНГ</t>
  </si>
  <si>
    <t>Главному админу сервера РНГ: Марфа</t>
  </si>
  <si>
    <t>Показания по урону: среднее</t>
  </si>
  <si>
    <t>Любимые боссы</t>
  </si>
  <si>
    <t>Цвета стихий:</t>
  </si>
  <si>
    <t>Цвета показателей:</t>
  </si>
  <si>
    <t>-</t>
  </si>
  <si>
    <t>Тьма</t>
  </si>
  <si>
    <t>Свет</t>
  </si>
  <si>
    <t>Земля</t>
  </si>
  <si>
    <t>Вода</t>
  </si>
  <si>
    <t>Виды показателей:</t>
  </si>
  <si>
    <t>П1 -</t>
  </si>
  <si>
    <t>П2 -</t>
  </si>
  <si>
    <t>П3 -</t>
  </si>
  <si>
    <t xml:space="preserve">П4 - </t>
  </si>
  <si>
    <t>У1 -</t>
  </si>
  <si>
    <t>У2 -</t>
  </si>
  <si>
    <t>У3 -</t>
  </si>
  <si>
    <t>У4 -</t>
  </si>
  <si>
    <t xml:space="preserve">Минимальный урон за рейд должен составлять - </t>
  </si>
  <si>
    <t>Пропуск</t>
  </si>
  <si>
    <t>Отл. Результат:</t>
  </si>
  <si>
    <t>18/21 - 20/21</t>
  </si>
  <si>
    <t>0/21 - 9/21</t>
  </si>
  <si>
    <t>14/21 - 17/21</t>
  </si>
  <si>
    <t>10/21 - 13/21</t>
  </si>
  <si>
    <t>Урон за рейд</t>
  </si>
  <si>
    <t>1200 - 1399 кк</t>
  </si>
  <si>
    <t>900 - 1199 кк</t>
  </si>
  <si>
    <t>800 - 899 кк</t>
  </si>
  <si>
    <t>0 - 799 кк</t>
  </si>
  <si>
    <t>Урон был выбран по показателям гильдии за рейд</t>
  </si>
  <si>
    <t>и выше</t>
  </si>
  <si>
    <t>База</t>
  </si>
  <si>
    <t>Огонь</t>
  </si>
  <si>
    <t>13.11.25 - 20.11.25</t>
  </si>
  <si>
    <t>У4;П4</t>
  </si>
  <si>
    <t>Вышел с гильдии во время рейда</t>
  </si>
  <si>
    <t>По уважительным причинам отсуствует «0» человек</t>
  </si>
  <si>
    <t>«Хорошо»</t>
  </si>
  <si>
    <t>П1</t>
  </si>
  <si>
    <t>П2</t>
  </si>
  <si>
    <t>У1;П4</t>
  </si>
  <si>
    <t>У2;П1</t>
  </si>
  <si>
    <t>Дункан</t>
  </si>
  <si>
    <t>Гаст</t>
  </si>
  <si>
    <t>Эльфаба</t>
  </si>
  <si>
    <t>Слизень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</si>
</sst>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\ &quot;/ 21&quot;"/>
    <numFmt numFmtId="165" formatCode="General\ &quot;кк&quot;"/>
    <numFmt numFmtId="166" formatCode="General\ &quot;чел&quot;"/>
    <numFmt numFmtId="167" formatCode="General\ &quot;%&quot;"/>
  </numFmts>
  <fonts count="8" x14ac:knownFonts="1">
    <font>
      <sz val="11"/>
      <color theme="1"/>
      <name val="Calibri"/>
      <family val="2"/>
      <charset val="1"/>
      <scheme val="minor"/>
    </font>
    <font>
      <sz val="16"/>
      <color theme="1"/>
      <name val="Times New Roman"/>
      <family val="1"/>
      <charset val="204"/>
    </font>
    <font>
      <sz val="16"/>
      <color theme="1"/>
      <name val="Calibri"/>
      <family val="2"/>
      <charset val="1"/>
      <scheme val="minor"/>
    </font>
    <font>
      <b/>
      <sz val="16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6"/>
      <color theme="0" tint="-0.499984740745262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sz val="16"/>
      <color theme="0" tint="-0.249977111117893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rgb="FFD89A02"/>
        <bgColor indexed="64"/>
      </patternFill>
    </fill>
    <fill>
      <patternFill patternType="solid">
        <fgColor rgb="FF90279C"/>
        <bgColor indexed="64"/>
      </patternFill>
    </fill>
    <fill>
      <patternFill patternType="solid">
        <fgColor rgb="FF815F32"/>
        <bgColor indexed="64"/>
      </patternFill>
    </fill>
    <fill>
      <patternFill patternType="solid">
        <fgColor rgb="FF2076B2"/>
        <bgColor indexed="64"/>
      </patternFill>
    </fill>
    <fill>
      <patternFill patternType="gray0625"/>
    </fill>
    <fill>
      <patternFill patternType="solid">
        <fgColor rgb="FFFFABAB"/>
        <bgColor indexed="64"/>
      </patternFill>
    </fill>
    <fill>
      <patternFill patternType="solid">
        <fgColor rgb="FFFFC2A3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DDCC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73D1A"/>
        <bgColor indexed="64"/>
      </patternFill>
    </fill>
    <fill>
      <patternFill patternType="solid">
        <fgColor rgb="FF50626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Border="1"/>
    <xf numFmtId="166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/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11" borderId="1" xfId="0" applyNumberFormat="1" applyFont="1" applyFill="1" applyBorder="1" applyAlignment="1">
      <alignment horizontal="center" vertical="center"/>
    </xf>
    <xf numFmtId="165" fontId="1" fillId="11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4" borderId="0" xfId="0" applyFont="1" applyFill="1"/>
    <xf numFmtId="0" fontId="1" fillId="3" borderId="0" xfId="0" applyFont="1" applyFill="1"/>
    <xf numFmtId="0" fontId="1" fillId="5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10" borderId="0" xfId="0" applyFont="1" applyFill="1"/>
    <xf numFmtId="0" fontId="2" fillId="9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165" fontId="6" fillId="0" borderId="0" xfId="0" applyNumberFormat="1" applyFont="1"/>
    <xf numFmtId="0" fontId="1" fillId="12" borderId="0" xfId="0" applyFont="1" applyFill="1"/>
    <xf numFmtId="0" fontId="1" fillId="13" borderId="0" xfId="0" applyFont="1" applyFill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6" borderId="2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14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1" fillId="1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165" fontId="1" fillId="10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15" borderId="4" xfId="0" applyNumberFormat="1" applyFont="1" applyFill="1" applyBorder="1" applyAlignment="1">
      <alignment horizontal="center" vertical="center"/>
    </xf>
    <xf numFmtId="165" fontId="1" fillId="15" borderId="16" xfId="0" applyNumberFormat="1" applyFont="1" applyFill="1" applyBorder="1" applyAlignment="1">
      <alignment horizontal="center" vertical="center"/>
    </xf>
    <xf numFmtId="165" fontId="1" fillId="15" borderId="5" xfId="0" applyNumberFormat="1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ABAB"/>
      <color rgb="FFFFC2A3"/>
      <color rgb="FFFFFFE1"/>
      <color rgb="FF815F32"/>
      <color rgb="FF90279C"/>
      <color rgb="FFA73D1A"/>
      <color rgb="FF50626E"/>
      <color rgb="FFFDDCC7"/>
      <color rgb="FF2076B2"/>
      <color rgb="FFD89A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544285</xdr:colOff>
      <xdr:row>41</xdr:row>
      <xdr:rowOff>122464</xdr:rowOff>
    </xdr:from>
    <xdr:to>
      <xdr:col>7</xdr:col>
      <xdr:colOff>598714</xdr:colOff>
      <xdr:row>41</xdr:row>
      <xdr:rowOff>136071</xdr:rowOff>
    </xdr:to>
    <xdr:cxnSp macro="">
      <xdr:nvCxnSpPr>
        <xdr:cNvPr id="3" name="Прямая соединительная линия 2"/>
        <xdr:cNvCxnSpPr/>
      </xdr:nvCxnSpPr>
      <xdr:spPr>
        <a:xfrm flipV="1">
          <a:off x="3565071" y="9416143"/>
          <a:ext cx="3429000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489858</xdr:colOff>
      <xdr:row>41</xdr:row>
      <xdr:rowOff>122464</xdr:rowOff>
    </xdr:from>
    <xdr:to>
      <xdr:col>7</xdr:col>
      <xdr:colOff>612322</xdr:colOff>
      <xdr:row>45</xdr:row>
      <xdr:rowOff>136071</xdr:rowOff>
    </xdr:to>
    <xdr:cxnSp macro="">
      <xdr:nvCxnSpPr>
        <xdr:cNvPr id="6" name="Прямая соединительная линия 5"/>
        <xdr:cNvCxnSpPr/>
      </xdr:nvCxnSpPr>
      <xdr:spPr>
        <a:xfrm flipH="1">
          <a:off x="3510644" y="9416143"/>
          <a:ext cx="3497035" cy="110217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465363</xdr:colOff>
      <xdr:row>45</xdr:row>
      <xdr:rowOff>125186</xdr:rowOff>
    </xdr:from>
    <xdr:to>
      <xdr:col>7</xdr:col>
      <xdr:colOff>519792</xdr:colOff>
      <xdr:row>45</xdr:row>
      <xdr:rowOff>138793</xdr:rowOff>
    </xdr:to>
    <xdr:cxnSp macro="">
      <xdr:nvCxnSpPr>
        <xdr:cNvPr id="13" name="Прямая соединительная линия 12"/>
        <xdr:cNvCxnSpPr/>
      </xdr:nvCxnSpPr>
      <xdr:spPr>
        <a:xfrm flipV="1">
          <a:off x="3486149" y="10507436"/>
          <a:ext cx="3429000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639350</xdr:colOff>
      <xdr:row>49</xdr:row>
      <xdr:rowOff>65240</xdr:rowOff>
    </xdr:from>
    <xdr:to>
      <xdr:col>11</xdr:col>
      <xdr:colOff>821022</xdr:colOff>
      <xdr:row>51</xdr:row>
      <xdr:rowOff>181586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0069" y="14026541"/>
          <a:ext cx="2191056" cy="638264"/>
        </a:xfrm>
        <a:prstGeom prst="rect">
          <a:avLst/>
        </a:prstGeom>
      </xdr:spPr>
    </xdr:pic>
    <xdr:clientData/>
  </xdr:twoCellAnchor>
  <xdr:twoCellAnchor editAs="oneCell">
    <xdr:from>
      <xdr:col>9</xdr:col>
      <xdr:colOff>320254</xdr:colOff>
      <xdr:row>1</xdr:row>
      <xdr:rowOff>89833</xdr:rowOff>
    </xdr:from>
    <xdr:to>
      <xdr:col>11</xdr:col>
      <xdr:colOff>290792</xdr:colOff>
      <xdr:row>8</xdr:row>
      <xdr:rowOff>156889</xdr:rowOff>
    </xdr:to>
    <xdr:pic>
      <xdr:nvPicPr>
        <xdr:cNvPr id="9" name="Рисунок 8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9298">
          <a:off x="10063535" y="347802"/>
          <a:ext cx="1974757" cy="1892681"/>
        </a:xfrm>
        <a:prstGeom prst="rect">
          <a:avLst/>
        </a:prstGeom>
      </xdr:spPr>
    </xdr:pic>
    <xdr:clientData/>
  </xdr:twoCellAnchor>
  <xdr:twoCellAnchor>
    <xdr:from>
      <xdr:col>7</xdr:col>
      <xdr:colOff>456678</xdr:colOff>
      <xdr:row>50</xdr:row>
      <xdr:rowOff>156576</xdr:rowOff>
    </xdr:from>
    <xdr:to>
      <xdr:col>9</xdr:col>
      <xdr:colOff>284045</xdr:colOff>
      <xdr:row>52</xdr:row>
      <xdr:rowOff>199808</xdr:rowOff>
    </xdr:to>
    <xdr:sp macro="" textlink="">
      <xdr:nvSpPr>
        <xdr:cNvPr id="10" name="Прямоугольник 9"/>
        <xdr:cNvSpPr/>
      </xdr:nvSpPr>
      <xdr:spPr>
        <a:xfrm rot="20259264">
          <a:off x="8037534" y="14378836"/>
          <a:ext cx="1967230" cy="565150"/>
        </a:xfrm>
        <a:prstGeom prst="rect">
          <a:avLst/>
        </a:prstGeom>
        <a:noFill/>
        <a:ln w="1905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ru-RU"/>
        </a:p>
      </xdr:txBody>
    </xdr:sp>
    <xdr:clientData/>
  </xdr:twoCellAnchor>
  <xdr:twoCellAnchor>
    <xdr:from>
      <xdr:col>7</xdr:col>
      <xdr:colOff>639349</xdr:colOff>
      <xdr:row>50</xdr:row>
      <xdr:rowOff>156573</xdr:rowOff>
    </xdr:from>
    <xdr:to>
      <xdr:col>9</xdr:col>
      <xdr:colOff>149216</xdr:colOff>
      <xdr:row>53</xdr:row>
      <xdr:rowOff>98866</xdr:rowOff>
    </xdr:to>
    <xdr:sp macro="" textlink="">
      <xdr:nvSpPr>
        <xdr:cNvPr id="11" name="Надпись 5"/>
        <xdr:cNvSpPr txBox="1"/>
      </xdr:nvSpPr>
      <xdr:spPr>
        <a:xfrm rot="20266097">
          <a:off x="8220205" y="14378833"/>
          <a:ext cx="1649730" cy="725170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ru-RU" sz="2400" b="1">
              <a:solidFill>
                <a:srgbClr val="538135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rPr>
            <a:t>Допущено</a:t>
          </a:r>
          <a:endParaRPr lang="ru-RU" sz="1100">
            <a:solidFill>
              <a:srgbClr val="000000"/>
            </a:solidFill>
            <a:effectLst/>
            <a:ea typeface="Calibri" panose="020F0502020204030204" pitchFamily="34" charset="0"/>
          </a:endParaRPr>
        </a:p>
      </xdr:txBody>
    </xdr:sp>
    <xdr:clientData/>
  </xdr:twoCellAnchor>
  <xdr:twoCellAnchor>
    <xdr:from>
      <xdr:col>9</xdr:col>
      <xdr:colOff>515938</xdr:colOff>
      <xdr:row>53</xdr:row>
      <xdr:rowOff>119063</xdr:rowOff>
    </xdr:from>
    <xdr:to>
      <xdr:col>11</xdr:col>
      <xdr:colOff>1051719</xdr:colOff>
      <xdr:row>56</xdr:row>
      <xdr:rowOff>99219</xdr:rowOff>
    </xdr:to>
    <xdr:sp macro="" textlink="">
      <xdr:nvSpPr>
        <xdr:cNvPr id="7" name="Прямоугольник 6"/>
        <xdr:cNvSpPr/>
      </xdr:nvSpPr>
      <xdr:spPr>
        <a:xfrm rot="21082501">
          <a:off x="10259219" y="15001876"/>
          <a:ext cx="2540000" cy="754062"/>
        </a:xfrm>
        <a:prstGeom prst="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10</xdr:col>
      <xdr:colOff>218282</xdr:colOff>
      <xdr:row>53</xdr:row>
      <xdr:rowOff>158749</xdr:rowOff>
    </xdr:from>
    <xdr:ext cx="1807161" cy="357790"/>
    <xdr:sp macro="" textlink="">
      <xdr:nvSpPr>
        <xdr:cNvPr id="8" name="TextBox 7"/>
        <xdr:cNvSpPr txBox="1"/>
      </xdr:nvSpPr>
      <xdr:spPr>
        <a:xfrm rot="21077079">
          <a:off x="10636251" y="15041562"/>
          <a:ext cx="1807161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800">
              <a:solidFill>
                <a:schemeClr val="accent5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КОПИЯ ВЕРНА</a:t>
          </a:r>
        </a:p>
      </xdr:txBody>
    </xdr:sp>
    <xdr:clientData/>
  </xdr:oneCellAnchor>
  <xdr:oneCellAnchor>
    <xdr:from>
      <xdr:col>10</xdr:col>
      <xdr:colOff>377032</xdr:colOff>
      <xdr:row>54</xdr:row>
      <xdr:rowOff>198437</xdr:rowOff>
    </xdr:from>
    <xdr:ext cx="1643207" cy="471026"/>
    <xdr:sp macro="" textlink="">
      <xdr:nvSpPr>
        <xdr:cNvPr id="12" name="TextBox 11"/>
        <xdr:cNvSpPr txBox="1"/>
      </xdr:nvSpPr>
      <xdr:spPr>
        <a:xfrm rot="21023195">
          <a:off x="10795001" y="15339218"/>
          <a:ext cx="1643207" cy="4710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400">
              <a:solidFill>
                <a:schemeClr val="accent5">
                  <a:lumMod val="7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«20» ноября 2025г.</a:t>
          </a:r>
        </a:p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48"/>
  <sheetViews>
    <sheetView showGridLines="0" tabSelected="1" zoomScale="48" zoomScaleNormal="48" workbookViewId="0">
      <selection activeCell="Z30" sqref="Z30"/>
    </sheetView>
  </sheetViews>
  <sheetFormatPr defaultRowHeight="15" x14ac:dyDescent="0.25"/>
  <cols>
    <col min="1" max="1" width="4.42578125" customWidth="1"/>
    <col min="2" max="2" width="5.28515625" customWidth="1"/>
    <col min="3" max="3" width="26.28515625" customWidth="1"/>
    <col min="4" max="4" width="23.28515625" customWidth="1"/>
    <col min="5" max="5" width="20.7109375" customWidth="1"/>
    <col min="6" max="7" width="16.85546875" customWidth="1"/>
    <col min="8" max="8" width="16.5703125" customWidth="1"/>
    <col min="9" max="9" width="15.42578125" customWidth="1"/>
    <col min="10" max="10" width="10.140625" customWidth="1"/>
    <col min="11" max="11" width="20" customWidth="1"/>
    <col min="12" max="12" width="19.85546875" customWidth="1"/>
    <col min="28" max="28" width="13.7109375" customWidth="1"/>
    <col min="29" max="29" width="10.28515625" bestFit="1" customWidth="1"/>
    <col min="30" max="30" width="10.28515625" customWidth="1"/>
    <col min="39" max="39" width="12" customWidth="1"/>
    <col min="40" max="40" width="10.5703125" customWidth="1"/>
  </cols>
  <sheetData>
    <row r="1" spans="1:57" ht="2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9"/>
      <c r="M1" s="9"/>
      <c r="N1" s="9"/>
      <c r="O1" s="9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21" x14ac:dyDescent="0.35">
      <c r="A2" s="1"/>
      <c r="B2" s="1"/>
      <c r="C2" s="1"/>
      <c r="D2" s="1"/>
      <c r="E2" s="1"/>
      <c r="F2" s="1"/>
      <c r="G2" s="1"/>
      <c r="H2" s="1"/>
      <c r="I2" s="1"/>
      <c r="J2" s="1" t="s">
        <v>54</v>
      </c>
      <c r="K2" s="1"/>
      <c r="L2" s="9"/>
      <c r="M2" s="9"/>
      <c r="N2" s="9"/>
      <c r="O2" s="9"/>
      <c r="P2" s="1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ht="21" x14ac:dyDescent="0.35">
      <c r="A3" s="1"/>
      <c r="B3" s="1"/>
      <c r="C3" s="1"/>
      <c r="D3" s="1"/>
      <c r="E3" s="1"/>
      <c r="F3" s="1"/>
      <c r="G3" s="1"/>
      <c r="H3" s="1"/>
      <c r="I3" s="15"/>
      <c r="J3" s="15" t="s">
        <v>55</v>
      </c>
      <c r="K3" s="15"/>
      <c r="L3" s="15"/>
      <c r="M3" s="9"/>
      <c r="N3" s="9"/>
      <c r="O3" s="9"/>
      <c r="P3" s="1"/>
      <c r="Q3" s="1"/>
      <c r="R3" s="1"/>
      <c r="S3" s="1"/>
      <c r="T3" s="1"/>
      <c r="U3" s="1"/>
      <c r="V3" s="1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57" ht="21" x14ac:dyDescent="0.35">
      <c r="A4" s="1"/>
      <c r="B4" s="1"/>
      <c r="C4" s="1"/>
      <c r="D4" s="1"/>
      <c r="E4" s="1"/>
      <c r="F4" s="1"/>
      <c r="G4" s="1"/>
      <c r="H4" s="1"/>
      <c r="I4" s="16"/>
      <c r="J4" s="16" t="s">
        <v>56</v>
      </c>
      <c r="K4" s="16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 ht="21" x14ac:dyDescent="0.35">
      <c r="A5" s="1"/>
      <c r="B5" s="1"/>
      <c r="C5" s="1"/>
      <c r="D5" s="1"/>
      <c r="E5" s="1"/>
      <c r="F5" s="1"/>
      <c r="G5" s="1"/>
      <c r="H5" s="1"/>
      <c r="I5" s="16"/>
      <c r="J5" s="52" t="s">
        <v>57</v>
      </c>
      <c r="K5" s="52"/>
      <c r="L5" s="9"/>
      <c r="M5" s="9"/>
      <c r="N5" s="9"/>
      <c r="O5" s="9"/>
      <c r="P5" s="1"/>
      <c r="Q5" s="1"/>
      <c r="R5" s="1"/>
      <c r="S5" s="1"/>
      <c r="T5" s="1"/>
      <c r="U5" s="1"/>
      <c r="V5" s="1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spans="1:57" ht="21" customHeight="1" x14ac:dyDescent="0.35">
      <c r="A6" s="1"/>
      <c r="B6" s="1"/>
      <c r="C6" s="1"/>
      <c r="D6" s="1"/>
      <c r="E6" s="1"/>
      <c r="F6" s="1"/>
      <c r="G6" s="1"/>
      <c r="H6" s="1"/>
      <c r="I6" s="1"/>
      <c r="J6" s="52"/>
      <c r="K6" s="52"/>
      <c r="L6" s="17"/>
      <c r="M6" s="9"/>
      <c r="N6" s="9"/>
      <c r="O6" s="9"/>
      <c r="P6" s="1"/>
      <c r="Q6" s="1"/>
      <c r="R6" s="1"/>
      <c r="S6" s="1"/>
      <c r="T6" s="1"/>
      <c r="U6" s="1"/>
      <c r="V6" s="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spans="1:57" ht="21.75" thickBot="1" x14ac:dyDescent="0.4">
      <c r="A7" s="1"/>
      <c r="B7" s="1"/>
      <c r="C7" s="1"/>
      <c r="D7" s="1"/>
      <c r="E7" s="1"/>
      <c r="F7" s="1"/>
      <c r="G7" s="1"/>
      <c r="H7" s="1"/>
      <c r="I7" s="1"/>
      <c r="J7" s="53">
        <v>45950</v>
      </c>
      <c r="K7" s="54"/>
      <c r="L7" s="9"/>
      <c r="M7" s="9"/>
      <c r="N7" s="9"/>
      <c r="O7" s="9"/>
      <c r="P7" s="1"/>
      <c r="Q7" s="1"/>
      <c r="R7" s="1"/>
      <c r="S7" s="1"/>
      <c r="T7" s="1"/>
      <c r="U7" s="1"/>
      <c r="V7" s="1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spans="1:57" ht="2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9"/>
      <c r="M8" s="9"/>
      <c r="N8" s="9"/>
      <c r="O8" s="9"/>
      <c r="P8" s="1"/>
      <c r="Q8" s="1"/>
      <c r="R8" s="1"/>
      <c r="S8" s="1"/>
      <c r="T8" s="1"/>
      <c r="U8" s="1"/>
      <c r="V8" s="1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spans="1:57" ht="21" x14ac:dyDescent="0.35">
      <c r="A9" s="1"/>
      <c r="B9" s="1"/>
      <c r="C9" s="1"/>
      <c r="D9" s="1"/>
      <c r="E9" s="1"/>
      <c r="F9" s="1"/>
      <c r="G9" s="62" t="s">
        <v>35</v>
      </c>
      <c r="H9" s="62"/>
      <c r="I9" s="1"/>
      <c r="J9" s="1"/>
      <c r="K9" s="1"/>
      <c r="L9" s="9"/>
      <c r="M9" s="9"/>
      <c r="N9" s="9"/>
      <c r="O9" s="9"/>
      <c r="P9" s="1"/>
      <c r="Q9" s="1"/>
      <c r="R9" s="1"/>
      <c r="S9" s="1"/>
      <c r="T9" s="1"/>
      <c r="U9" s="1"/>
      <c r="V9" s="1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ht="21.75" thickBot="1" x14ac:dyDescent="0.4">
      <c r="A10" s="1"/>
      <c r="B10" s="1"/>
      <c r="C10" s="1"/>
      <c r="D10" s="1"/>
      <c r="E10" s="45" t="s">
        <v>36</v>
      </c>
      <c r="F10" s="45"/>
      <c r="G10" s="63" t="s">
        <v>92</v>
      </c>
      <c r="H10" s="63"/>
      <c r="I10" s="63"/>
      <c r="J10" s="8"/>
      <c r="K10" s="1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spans="1:57" ht="21.75" thickBot="1" x14ac:dyDescent="0.4">
      <c r="A11" s="1"/>
      <c r="B11" s="1"/>
      <c r="C11" s="1"/>
      <c r="D11" s="12" t="s">
        <v>37</v>
      </c>
      <c r="E11" s="20">
        <v>50</v>
      </c>
      <c r="F11" s="3" t="s">
        <v>38</v>
      </c>
      <c r="G11" s="19">
        <v>189</v>
      </c>
      <c r="H11" s="1" t="s">
        <v>39</v>
      </c>
      <c r="I11" s="1"/>
      <c r="J11" s="65">
        <v>45981</v>
      </c>
      <c r="K11" s="65"/>
      <c r="L11" s="9"/>
      <c r="M11" s="9"/>
      <c r="N11" s="9"/>
      <c r="O11" s="9"/>
      <c r="P11" s="1"/>
      <c r="Q11" s="1"/>
      <c r="R11" s="1"/>
      <c r="S11" s="1"/>
      <c r="T11" s="1"/>
      <c r="U11" s="1"/>
      <c r="V11" s="1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ht="2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9"/>
      <c r="M12" s="9"/>
      <c r="N12" s="9"/>
      <c r="O12" s="9"/>
      <c r="P12" s="1"/>
      <c r="Q12" s="1"/>
      <c r="R12" s="1"/>
      <c r="S12" s="1"/>
      <c r="T12" s="1"/>
      <c r="U12" s="1"/>
      <c r="V12" s="1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 ht="2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57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 ht="110.25" customHeight="1" x14ac:dyDescent="0.35">
      <c r="A15" s="1"/>
      <c r="B15" s="86" t="s">
        <v>0</v>
      </c>
      <c r="C15" s="85" t="s">
        <v>1</v>
      </c>
      <c r="D15" s="85" t="s">
        <v>2</v>
      </c>
      <c r="E15" s="64" t="s">
        <v>3</v>
      </c>
      <c r="F15" s="66" t="s">
        <v>58</v>
      </c>
      <c r="G15" s="68" t="s">
        <v>59</v>
      </c>
      <c r="H15" s="69"/>
      <c r="I15" s="70"/>
      <c r="J15" s="86" t="s">
        <v>4</v>
      </c>
      <c r="K15" s="64" t="s">
        <v>33</v>
      </c>
      <c r="L15" s="64" t="s">
        <v>34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 ht="21" x14ac:dyDescent="0.35">
      <c r="A16" s="1"/>
      <c r="B16" s="86"/>
      <c r="C16" s="85"/>
      <c r="D16" s="85"/>
      <c r="E16" s="64"/>
      <c r="F16" s="67"/>
      <c r="G16" s="71"/>
      <c r="H16" s="72"/>
      <c r="I16" s="73"/>
      <c r="J16" s="86"/>
      <c r="K16" s="64"/>
      <c r="L16" s="64"/>
      <c r="M16" s="1"/>
      <c r="N16" s="1"/>
      <c r="O16" s="1"/>
      <c r="P16" s="1"/>
      <c r="Q16" s="1"/>
      <c r="R16" s="1"/>
      <c r="S16" s="45" t="s">
        <v>60</v>
      </c>
      <c r="T16" s="45"/>
      <c r="U16" s="1"/>
      <c r="V16" s="1"/>
      <c r="W16" s="43" t="s">
        <v>61</v>
      </c>
      <c r="X16" s="43"/>
      <c r="Y16" s="43"/>
      <c r="Z16" s="2"/>
      <c r="AA16" s="43" t="s">
        <v>67</v>
      </c>
      <c r="AB16" s="43"/>
      <c r="AC16" s="43"/>
      <c r="AD16" s="35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57" ht="21" x14ac:dyDescent="0.35">
      <c r="A17" s="1"/>
      <c r="B17" s="6">
        <v>1</v>
      </c>
      <c r="C17" s="6" t="s">
        <v>31</v>
      </c>
      <c r="D17" s="6" t="s">
        <v>6</v>
      </c>
      <c r="E17" s="23">
        <v>2766</v>
      </c>
      <c r="F17" s="93">
        <f>E17/6</f>
        <v>461</v>
      </c>
      <c r="G17" s="96" t="s">
        <v>104</v>
      </c>
      <c r="H17" s="97" t="s">
        <v>101</v>
      </c>
      <c r="I17" s="95" t="s">
        <v>103</v>
      </c>
      <c r="J17" s="91">
        <v>18</v>
      </c>
      <c r="K17" s="18">
        <v>4</v>
      </c>
      <c r="L17" s="18" t="s">
        <v>97</v>
      </c>
      <c r="M17" s="1"/>
      <c r="N17" s="1"/>
      <c r="O17" s="1"/>
      <c r="P17" s="1"/>
      <c r="Q17" s="1"/>
      <c r="R17" s="1"/>
      <c r="S17" s="24"/>
      <c r="T17" s="3" t="s">
        <v>62</v>
      </c>
      <c r="U17" s="1" t="s">
        <v>64</v>
      </c>
      <c r="V17" s="1"/>
      <c r="W17" s="31"/>
      <c r="X17" s="29" t="s">
        <v>62</v>
      </c>
      <c r="Y17" s="28">
        <v>1</v>
      </c>
      <c r="Z17" s="2"/>
      <c r="AA17" s="2" t="s">
        <v>68</v>
      </c>
      <c r="AB17" s="34" t="s">
        <v>77</v>
      </c>
      <c r="AC17" s="44" t="s">
        <v>79</v>
      </c>
      <c r="AD17" s="44"/>
      <c r="AE17" s="38"/>
      <c r="AF17" s="2" t="s">
        <v>72</v>
      </c>
      <c r="AG17" s="43" t="s">
        <v>83</v>
      </c>
      <c r="AH17" s="43"/>
      <c r="AI17" s="43" t="s">
        <v>84</v>
      </c>
      <c r="AJ17" s="43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spans="1:57" ht="21" x14ac:dyDescent="0.35">
      <c r="A18" s="1"/>
      <c r="B18" s="6">
        <v>2</v>
      </c>
      <c r="C18" s="6" t="s">
        <v>30</v>
      </c>
      <c r="D18" s="6" t="s">
        <v>7</v>
      </c>
      <c r="E18" s="23">
        <v>3099</v>
      </c>
      <c r="F18" s="23">
        <f t="shared" ref="F18:F40" si="0">E18/7</f>
        <v>442.71428571428572</v>
      </c>
      <c r="G18" s="98" t="s">
        <v>102</v>
      </c>
      <c r="H18" s="95" t="s">
        <v>103</v>
      </c>
      <c r="I18" s="95" t="s">
        <v>103</v>
      </c>
      <c r="J18" s="22">
        <v>21</v>
      </c>
      <c r="K18" s="18">
        <v>5</v>
      </c>
      <c r="L18" s="18"/>
      <c r="M18" s="1"/>
      <c r="N18" s="1"/>
      <c r="O18" s="1"/>
      <c r="P18" s="1"/>
      <c r="Q18" s="1"/>
      <c r="R18" s="1"/>
      <c r="S18" s="25"/>
      <c r="T18" s="3" t="s">
        <v>62</v>
      </c>
      <c r="U18" s="1" t="s">
        <v>65</v>
      </c>
      <c r="V18" s="1"/>
      <c r="W18" s="30"/>
      <c r="X18" s="29" t="s">
        <v>62</v>
      </c>
      <c r="Y18" s="28">
        <v>2</v>
      </c>
      <c r="Z18" s="2"/>
      <c r="AA18" s="2" t="s">
        <v>69</v>
      </c>
      <c r="AB18" s="34" t="s">
        <v>77</v>
      </c>
      <c r="AC18" s="44" t="s">
        <v>81</v>
      </c>
      <c r="AD18" s="44"/>
      <c r="AE18" s="2"/>
      <c r="AF18" s="2" t="s">
        <v>73</v>
      </c>
      <c r="AG18" s="43" t="s">
        <v>83</v>
      </c>
      <c r="AH18" s="43"/>
      <c r="AI18" s="43" t="s">
        <v>85</v>
      </c>
      <c r="AJ18" s="4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spans="1:57" ht="21" x14ac:dyDescent="0.35">
      <c r="A19" s="1"/>
      <c r="B19" s="6">
        <v>3</v>
      </c>
      <c r="C19" s="6" t="s">
        <v>32</v>
      </c>
      <c r="D19" s="6" t="s">
        <v>8</v>
      </c>
      <c r="E19" s="23">
        <v>4196</v>
      </c>
      <c r="F19" s="23">
        <f t="shared" si="0"/>
        <v>599.42857142857144</v>
      </c>
      <c r="G19" s="97" t="s">
        <v>101</v>
      </c>
      <c r="H19" s="98" t="s">
        <v>102</v>
      </c>
      <c r="I19" s="95" t="s">
        <v>103</v>
      </c>
      <c r="J19" s="22">
        <v>21</v>
      </c>
      <c r="K19" s="18">
        <v>5</v>
      </c>
      <c r="L19" s="18"/>
      <c r="M19" s="1"/>
      <c r="N19" s="1"/>
      <c r="O19" s="1"/>
      <c r="P19" s="1"/>
      <c r="Q19" s="1"/>
      <c r="R19" s="1"/>
      <c r="S19" s="26"/>
      <c r="T19" s="3" t="s">
        <v>62</v>
      </c>
      <c r="U19" s="1" t="s">
        <v>63</v>
      </c>
      <c r="V19" s="1"/>
      <c r="W19" s="33"/>
      <c r="X19" s="29" t="s">
        <v>62</v>
      </c>
      <c r="Y19" s="28">
        <v>3</v>
      </c>
      <c r="Z19" s="2"/>
      <c r="AA19" s="2" t="s">
        <v>70</v>
      </c>
      <c r="AB19" s="34" t="s">
        <v>77</v>
      </c>
      <c r="AC19" s="44" t="s">
        <v>82</v>
      </c>
      <c r="AD19" s="44"/>
      <c r="AE19" s="2"/>
      <c r="AF19" s="2" t="s">
        <v>74</v>
      </c>
      <c r="AG19" s="43" t="s">
        <v>83</v>
      </c>
      <c r="AH19" s="43"/>
      <c r="AI19" s="43" t="s">
        <v>86</v>
      </c>
      <c r="AJ19" s="4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spans="1:57" ht="21" x14ac:dyDescent="0.35">
      <c r="A20" s="1"/>
      <c r="B20" s="6">
        <v>4</v>
      </c>
      <c r="C20" s="6" t="s">
        <v>32</v>
      </c>
      <c r="D20" s="6" t="s">
        <v>9</v>
      </c>
      <c r="E20" s="23">
        <v>2829</v>
      </c>
      <c r="F20" s="23">
        <f t="shared" si="0"/>
        <v>404.14285714285717</v>
      </c>
      <c r="G20" s="96" t="s">
        <v>104</v>
      </c>
      <c r="H20" s="98" t="s">
        <v>102</v>
      </c>
      <c r="I20" s="95" t="s">
        <v>103</v>
      </c>
      <c r="J20" s="22">
        <v>21</v>
      </c>
      <c r="K20" s="18">
        <v>5</v>
      </c>
      <c r="L20" s="18"/>
      <c r="M20" s="1"/>
      <c r="N20" s="1"/>
      <c r="O20" s="1"/>
      <c r="P20" s="1"/>
      <c r="Q20" s="1"/>
      <c r="R20" s="1"/>
      <c r="S20" s="27"/>
      <c r="T20" s="3" t="s">
        <v>62</v>
      </c>
      <c r="U20" s="1" t="s">
        <v>66</v>
      </c>
      <c r="V20" s="1"/>
      <c r="W20" s="32"/>
      <c r="X20" s="29" t="s">
        <v>62</v>
      </c>
      <c r="Y20" s="28">
        <v>4</v>
      </c>
      <c r="Z20" s="2"/>
      <c r="AA20" s="2" t="s">
        <v>71</v>
      </c>
      <c r="AB20" s="34" t="s">
        <v>77</v>
      </c>
      <c r="AC20" s="44" t="s">
        <v>80</v>
      </c>
      <c r="AD20" s="44"/>
      <c r="AE20" s="38"/>
      <c r="AF20" s="2" t="s">
        <v>75</v>
      </c>
      <c r="AG20" s="43" t="s">
        <v>83</v>
      </c>
      <c r="AH20" s="43"/>
      <c r="AI20" s="43" t="s">
        <v>87</v>
      </c>
      <c r="AJ20" s="43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spans="1:57" ht="21" x14ac:dyDescent="0.35">
      <c r="A21" s="1"/>
      <c r="B21" s="6">
        <v>5</v>
      </c>
      <c r="C21" s="6" t="s">
        <v>32</v>
      </c>
      <c r="D21" s="6" t="s">
        <v>10</v>
      </c>
      <c r="E21" s="23">
        <v>3742</v>
      </c>
      <c r="F21" s="23">
        <f t="shared" si="0"/>
        <v>534.57142857142856</v>
      </c>
      <c r="G21" s="97" t="s">
        <v>101</v>
      </c>
      <c r="H21" s="98" t="s">
        <v>102</v>
      </c>
      <c r="I21" s="95" t="s">
        <v>103</v>
      </c>
      <c r="J21" s="22">
        <v>21</v>
      </c>
      <c r="K21" s="18">
        <v>5</v>
      </c>
      <c r="L21" s="18"/>
      <c r="M21" s="1"/>
      <c r="N21" s="1"/>
      <c r="O21" s="1"/>
      <c r="P21" s="1"/>
      <c r="Q21" s="1"/>
      <c r="R21" s="1"/>
      <c r="S21" s="41"/>
      <c r="T21" s="3" t="s">
        <v>62</v>
      </c>
      <c r="U21" s="1" t="s">
        <v>90</v>
      </c>
      <c r="V21" s="1"/>
      <c r="W21" s="2"/>
      <c r="X21" s="2"/>
      <c r="Y21" s="2"/>
      <c r="Z21" s="2"/>
      <c r="AA21" s="2"/>
      <c r="AB21" s="2"/>
      <c r="AC21" s="36"/>
      <c r="AD21" s="36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spans="1:57" ht="21" x14ac:dyDescent="0.35">
      <c r="A22" s="1"/>
      <c r="B22" s="6">
        <v>6</v>
      </c>
      <c r="C22" s="6" t="s">
        <v>32</v>
      </c>
      <c r="D22" s="6" t="s">
        <v>11</v>
      </c>
      <c r="E22" s="94">
        <v>1082</v>
      </c>
      <c r="F22" s="93">
        <f>E22/6</f>
        <v>180.33333333333334</v>
      </c>
      <c r="G22" s="97" t="s">
        <v>101</v>
      </c>
      <c r="H22" s="98" t="s">
        <v>102</v>
      </c>
      <c r="I22" s="96" t="s">
        <v>104</v>
      </c>
      <c r="J22" s="91">
        <v>18</v>
      </c>
      <c r="K22" s="18">
        <v>3</v>
      </c>
      <c r="L22" s="18" t="s">
        <v>100</v>
      </c>
      <c r="M22" s="1"/>
      <c r="N22" s="1"/>
      <c r="O22" s="1"/>
      <c r="P22" s="1"/>
      <c r="Q22" s="1"/>
      <c r="R22" s="1"/>
      <c r="S22" s="40"/>
      <c r="T22" s="3" t="s">
        <v>62</v>
      </c>
      <c r="U22" s="1" t="s">
        <v>91</v>
      </c>
      <c r="V22" s="1"/>
      <c r="W22" s="2"/>
      <c r="X22" s="2"/>
      <c r="Y22" s="2"/>
      <c r="Z22" s="2"/>
      <c r="AA22" s="2" t="s">
        <v>78</v>
      </c>
      <c r="AB22" s="2"/>
      <c r="AC22" s="37">
        <v>21</v>
      </c>
      <c r="AD22" s="37"/>
      <c r="AE22" s="2"/>
      <c r="AF22" s="43" t="s">
        <v>76</v>
      </c>
      <c r="AG22" s="43"/>
      <c r="AH22" s="43"/>
      <c r="AI22" s="43"/>
      <c r="AJ22" s="43"/>
      <c r="AK22" s="43"/>
      <c r="AL22" s="43"/>
      <c r="AM22" s="39">
        <v>1400</v>
      </c>
      <c r="AN22" s="2" t="s">
        <v>89</v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spans="1:57" ht="21" x14ac:dyDescent="0.35">
      <c r="A23" s="1"/>
      <c r="B23" s="6">
        <v>7</v>
      </c>
      <c r="C23" s="6" t="s">
        <v>32</v>
      </c>
      <c r="D23" s="6" t="s">
        <v>12</v>
      </c>
      <c r="E23" s="23">
        <v>3463</v>
      </c>
      <c r="F23" s="23">
        <f t="shared" si="0"/>
        <v>494.71428571428572</v>
      </c>
      <c r="G23" s="97" t="s">
        <v>101</v>
      </c>
      <c r="H23" s="98" t="s">
        <v>102</v>
      </c>
      <c r="I23" s="95" t="s">
        <v>103</v>
      </c>
      <c r="J23" s="22">
        <v>21</v>
      </c>
      <c r="K23" s="18">
        <v>5</v>
      </c>
      <c r="L23" s="18"/>
      <c r="M23" s="1"/>
      <c r="N23" s="1"/>
      <c r="O23" s="1"/>
      <c r="P23" s="1"/>
      <c r="Q23" s="1"/>
      <c r="R23" s="1"/>
      <c r="S23" s="1"/>
      <c r="T23" s="1"/>
      <c r="U23" s="1"/>
      <c r="V23" s="1"/>
      <c r="W23" s="2"/>
      <c r="X23" s="2"/>
      <c r="Y23" s="2"/>
      <c r="Z23" s="2"/>
      <c r="AA23" s="2"/>
      <c r="AB23" s="2"/>
      <c r="AC23" s="2"/>
      <c r="AD23" s="2"/>
      <c r="AE23" s="2"/>
      <c r="AF23" s="42" t="s">
        <v>88</v>
      </c>
      <c r="AG23" s="42"/>
      <c r="AH23" s="42"/>
      <c r="AI23" s="42"/>
      <c r="AJ23" s="42"/>
      <c r="AK23" s="42"/>
      <c r="AL23" s="42"/>
      <c r="AM23" s="4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spans="1:57" ht="21" x14ac:dyDescent="0.35">
      <c r="A24" s="1"/>
      <c r="B24" s="6">
        <v>8</v>
      </c>
      <c r="C24" s="6" t="s">
        <v>32</v>
      </c>
      <c r="D24" s="6" t="s">
        <v>13</v>
      </c>
      <c r="E24" s="23">
        <v>1634</v>
      </c>
      <c r="F24" s="23">
        <f t="shared" si="0"/>
        <v>233.42857142857142</v>
      </c>
      <c r="G24" s="96" t="s">
        <v>104</v>
      </c>
      <c r="H24" s="97" t="s">
        <v>101</v>
      </c>
      <c r="I24" s="95" t="s">
        <v>103</v>
      </c>
      <c r="J24" s="22">
        <v>21</v>
      </c>
      <c r="K24" s="18">
        <v>5</v>
      </c>
      <c r="L24" s="18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spans="1:57" ht="21" x14ac:dyDescent="0.35">
      <c r="A25" s="1"/>
      <c r="B25" s="6">
        <v>9</v>
      </c>
      <c r="C25" s="6" t="s">
        <v>32</v>
      </c>
      <c r="D25" s="6" t="s">
        <v>14</v>
      </c>
      <c r="E25" s="23">
        <v>4035</v>
      </c>
      <c r="F25" s="23">
        <f t="shared" si="0"/>
        <v>576.42857142857144</v>
      </c>
      <c r="G25" s="97" t="s">
        <v>101</v>
      </c>
      <c r="H25" s="98" t="s">
        <v>102</v>
      </c>
      <c r="I25" s="95" t="s">
        <v>103</v>
      </c>
      <c r="J25" s="22">
        <v>21</v>
      </c>
      <c r="K25" s="18">
        <v>5</v>
      </c>
      <c r="L25" s="18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spans="1:57" ht="21" x14ac:dyDescent="0.35">
      <c r="A26" s="1"/>
      <c r="B26" s="6">
        <v>10</v>
      </c>
      <c r="C26" s="6" t="s">
        <v>32</v>
      </c>
      <c r="D26" s="5" t="s">
        <v>15</v>
      </c>
      <c r="E26" s="23">
        <v>2321</v>
      </c>
      <c r="F26" s="93">
        <f>E26/6</f>
        <v>386.83333333333331</v>
      </c>
      <c r="G26" s="96" t="s">
        <v>104</v>
      </c>
      <c r="H26" s="98" t="s">
        <v>102</v>
      </c>
      <c r="I26" s="95" t="s">
        <v>103</v>
      </c>
      <c r="J26" s="91">
        <v>18</v>
      </c>
      <c r="K26" s="18">
        <v>4</v>
      </c>
      <c r="L26" s="18" t="s">
        <v>97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spans="1:57" ht="21" x14ac:dyDescent="0.35">
      <c r="A27" s="1"/>
      <c r="B27" s="6">
        <v>11</v>
      </c>
      <c r="C27" s="6" t="s">
        <v>32</v>
      </c>
      <c r="D27" s="6" t="s">
        <v>16</v>
      </c>
      <c r="E27" s="23">
        <v>4038</v>
      </c>
      <c r="F27" s="23">
        <f t="shared" si="0"/>
        <v>576.85714285714289</v>
      </c>
      <c r="G27" s="97" t="s">
        <v>101</v>
      </c>
      <c r="H27" s="98" t="s">
        <v>102</v>
      </c>
      <c r="I27" s="95" t="s">
        <v>103</v>
      </c>
      <c r="J27" s="22">
        <v>21</v>
      </c>
      <c r="K27" s="18">
        <v>5</v>
      </c>
      <c r="L27" s="18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spans="1:57" ht="21" x14ac:dyDescent="0.35">
      <c r="A28" s="1"/>
      <c r="B28" s="6">
        <v>12</v>
      </c>
      <c r="C28" s="6" t="s">
        <v>32</v>
      </c>
      <c r="D28" s="6" t="s">
        <v>17</v>
      </c>
      <c r="E28" s="23">
        <v>2157</v>
      </c>
      <c r="F28" s="103">
        <f>E28/5</f>
        <v>431.4</v>
      </c>
      <c r="G28" s="98" t="s">
        <v>102</v>
      </c>
      <c r="H28" s="95" t="s">
        <v>103</v>
      </c>
      <c r="I28" s="97" t="s">
        <v>101</v>
      </c>
      <c r="J28" s="90">
        <v>15</v>
      </c>
      <c r="K28" s="18">
        <v>4</v>
      </c>
      <c r="L28" s="18" t="s">
        <v>98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spans="1:57" ht="21" x14ac:dyDescent="0.35">
      <c r="A29" s="1"/>
      <c r="B29" s="6">
        <v>13</v>
      </c>
      <c r="C29" s="6" t="s">
        <v>32</v>
      </c>
      <c r="D29" s="6" t="s">
        <v>18</v>
      </c>
      <c r="E29" s="23">
        <v>2035</v>
      </c>
      <c r="F29" s="103">
        <f>E29/5</f>
        <v>407</v>
      </c>
      <c r="G29" s="96" t="s">
        <v>104</v>
      </c>
      <c r="H29" s="97" t="s">
        <v>101</v>
      </c>
      <c r="I29" s="95" t="s">
        <v>103</v>
      </c>
      <c r="J29" s="90">
        <v>15</v>
      </c>
      <c r="K29" s="18">
        <v>4</v>
      </c>
      <c r="L29" s="18" t="s">
        <v>98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spans="1:57" ht="21" x14ac:dyDescent="0.35">
      <c r="A30" s="1"/>
      <c r="B30" s="6">
        <v>14</v>
      </c>
      <c r="C30" s="6" t="s">
        <v>32</v>
      </c>
      <c r="D30" s="6" t="s">
        <v>19</v>
      </c>
      <c r="E30" s="23">
        <v>2804</v>
      </c>
      <c r="F30" s="23">
        <f t="shared" si="0"/>
        <v>400.57142857142856</v>
      </c>
      <c r="G30" s="98" t="s">
        <v>102</v>
      </c>
      <c r="H30" s="95" t="s">
        <v>103</v>
      </c>
      <c r="I30" s="95" t="s">
        <v>103</v>
      </c>
      <c r="J30" s="22">
        <v>21</v>
      </c>
      <c r="K30" s="18">
        <v>5</v>
      </c>
      <c r="L30" s="18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spans="1:57" ht="21" x14ac:dyDescent="0.35">
      <c r="A31" s="1"/>
      <c r="B31" s="6">
        <v>15</v>
      </c>
      <c r="C31" s="6" t="s">
        <v>32</v>
      </c>
      <c r="D31" s="6" t="s">
        <v>20</v>
      </c>
      <c r="E31" s="23">
        <v>3489</v>
      </c>
      <c r="F31" s="23">
        <f t="shared" si="0"/>
        <v>498.42857142857144</v>
      </c>
      <c r="G31" s="97" t="s">
        <v>101</v>
      </c>
      <c r="H31" s="98" t="s">
        <v>102</v>
      </c>
      <c r="I31" s="95" t="s">
        <v>103</v>
      </c>
      <c r="J31" s="22">
        <v>21</v>
      </c>
      <c r="K31" s="18">
        <v>5</v>
      </c>
      <c r="L31" s="18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spans="1:57" ht="21" x14ac:dyDescent="0.35">
      <c r="A32" s="1"/>
      <c r="B32" s="6">
        <v>16</v>
      </c>
      <c r="C32" s="6" t="s">
        <v>32</v>
      </c>
      <c r="D32" s="6" t="s">
        <v>21</v>
      </c>
      <c r="E32" s="23">
        <v>3032</v>
      </c>
      <c r="F32" s="23">
        <f t="shared" si="0"/>
        <v>433.14285714285717</v>
      </c>
      <c r="G32" s="97" t="s">
        <v>101</v>
      </c>
      <c r="H32" s="95" t="s">
        <v>103</v>
      </c>
      <c r="I32" s="95" t="s">
        <v>103</v>
      </c>
      <c r="J32" s="22">
        <v>21</v>
      </c>
      <c r="K32" s="18">
        <v>5</v>
      </c>
      <c r="L32" s="18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spans="1:57" ht="21" x14ac:dyDescent="0.35">
      <c r="A33" s="1"/>
      <c r="B33" s="6">
        <v>17</v>
      </c>
      <c r="C33" s="6" t="s">
        <v>32</v>
      </c>
      <c r="D33" s="6" t="s">
        <v>22</v>
      </c>
      <c r="E33" s="23">
        <v>2780</v>
      </c>
      <c r="F33" s="23">
        <f t="shared" si="0"/>
        <v>397.14285714285717</v>
      </c>
      <c r="G33" s="96" t="s">
        <v>104</v>
      </c>
      <c r="H33" s="95" t="s">
        <v>103</v>
      </c>
      <c r="I33" s="95" t="s">
        <v>103</v>
      </c>
      <c r="J33" s="22">
        <v>21</v>
      </c>
      <c r="K33" s="18">
        <v>5</v>
      </c>
      <c r="L33" s="18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spans="1:57" ht="21" x14ac:dyDescent="0.35">
      <c r="A34" s="1"/>
      <c r="B34" s="6">
        <v>18</v>
      </c>
      <c r="C34" s="6" t="s">
        <v>32</v>
      </c>
      <c r="D34" s="6" t="s">
        <v>23</v>
      </c>
      <c r="E34" s="89">
        <v>679</v>
      </c>
      <c r="F34" s="89">
        <f>E34/3</f>
        <v>226.33333333333334</v>
      </c>
      <c r="G34" s="97" t="s">
        <v>101</v>
      </c>
      <c r="H34" s="95" t="s">
        <v>103</v>
      </c>
      <c r="I34" s="95" t="s">
        <v>103</v>
      </c>
      <c r="J34" s="92">
        <v>9</v>
      </c>
      <c r="K34" s="18">
        <v>2</v>
      </c>
      <c r="L34" s="18" t="s">
        <v>93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spans="1:57" ht="21" x14ac:dyDescent="0.35">
      <c r="A35" s="1"/>
      <c r="B35" s="6">
        <v>19</v>
      </c>
      <c r="C35" s="6" t="s">
        <v>32</v>
      </c>
      <c r="D35" s="6" t="s">
        <v>24</v>
      </c>
      <c r="E35" s="93">
        <v>1214</v>
      </c>
      <c r="F35" s="89">
        <f>E35/3</f>
        <v>404.66666666666669</v>
      </c>
      <c r="G35" s="98" t="s">
        <v>102</v>
      </c>
      <c r="H35" s="95" t="s">
        <v>103</v>
      </c>
      <c r="I35" s="95" t="s">
        <v>103</v>
      </c>
      <c r="J35" s="92">
        <v>9</v>
      </c>
      <c r="K35" s="18">
        <v>3</v>
      </c>
      <c r="L35" s="18" t="s">
        <v>99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spans="1:57" ht="21" x14ac:dyDescent="0.35">
      <c r="A36" s="1"/>
      <c r="B36" s="102">
        <v>20</v>
      </c>
      <c r="C36" s="102" t="s">
        <v>32</v>
      </c>
      <c r="D36" s="102" t="s">
        <v>5</v>
      </c>
      <c r="E36" s="99" t="s">
        <v>94</v>
      </c>
      <c r="F36" s="100"/>
      <c r="G36" s="100"/>
      <c r="H36" s="100"/>
      <c r="I36" s="100"/>
      <c r="J36" s="100"/>
      <c r="K36" s="100"/>
      <c r="L36" s="10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spans="1:57" ht="21" x14ac:dyDescent="0.35">
      <c r="A37" s="1"/>
      <c r="B37" s="6">
        <v>21</v>
      </c>
      <c r="C37" s="6" t="s">
        <v>32</v>
      </c>
      <c r="D37" s="6" t="s">
        <v>25</v>
      </c>
      <c r="E37" s="23">
        <v>4404</v>
      </c>
      <c r="F37" s="23">
        <f t="shared" si="0"/>
        <v>629.14285714285711</v>
      </c>
      <c r="G37" s="97" t="s">
        <v>101</v>
      </c>
      <c r="H37" s="98" t="s">
        <v>102</v>
      </c>
      <c r="I37" s="95" t="s">
        <v>103</v>
      </c>
      <c r="J37" s="22">
        <v>21</v>
      </c>
      <c r="K37" s="18">
        <v>5</v>
      </c>
      <c r="L37" s="18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spans="1:57" ht="21" x14ac:dyDescent="0.35">
      <c r="A38" s="1"/>
      <c r="B38" s="6">
        <v>22</v>
      </c>
      <c r="C38" s="6" t="s">
        <v>32</v>
      </c>
      <c r="D38" s="6" t="s">
        <v>26</v>
      </c>
      <c r="E38" s="23">
        <v>3850</v>
      </c>
      <c r="F38" s="23">
        <f t="shared" si="0"/>
        <v>550</v>
      </c>
      <c r="G38" s="97" t="s">
        <v>101</v>
      </c>
      <c r="H38" s="97" t="s">
        <v>101</v>
      </c>
      <c r="I38" s="95" t="s">
        <v>103</v>
      </c>
      <c r="J38" s="22">
        <v>21</v>
      </c>
      <c r="K38" s="18">
        <v>5</v>
      </c>
      <c r="L38" s="18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spans="1:57" ht="21" x14ac:dyDescent="0.35">
      <c r="A39" s="1"/>
      <c r="B39" s="6">
        <v>23</v>
      </c>
      <c r="C39" s="6" t="s">
        <v>32</v>
      </c>
      <c r="D39" s="6" t="s">
        <v>27</v>
      </c>
      <c r="E39" s="23">
        <v>0</v>
      </c>
      <c r="F39" s="89">
        <f t="shared" si="0"/>
        <v>0</v>
      </c>
      <c r="G39" s="87"/>
      <c r="H39" s="87"/>
      <c r="I39" s="87"/>
      <c r="J39" s="92">
        <v>0</v>
      </c>
      <c r="K39" s="88">
        <v>2</v>
      </c>
      <c r="L39" s="21" t="s">
        <v>93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spans="1:57" ht="21" x14ac:dyDescent="0.35">
      <c r="A40" s="1"/>
      <c r="B40" s="6">
        <v>24</v>
      </c>
      <c r="C40" s="6" t="s">
        <v>32</v>
      </c>
      <c r="D40" s="6" t="s">
        <v>28</v>
      </c>
      <c r="E40" s="23">
        <v>0</v>
      </c>
      <c r="F40" s="89">
        <f t="shared" si="0"/>
        <v>0</v>
      </c>
      <c r="G40" s="87"/>
      <c r="H40" s="87"/>
      <c r="I40" s="87"/>
      <c r="J40" s="92">
        <v>0</v>
      </c>
      <c r="K40" s="88">
        <v>2</v>
      </c>
      <c r="L40" s="21" t="s">
        <v>93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spans="1:57" ht="21" x14ac:dyDescent="0.35">
      <c r="A41" s="1"/>
      <c r="B41" s="6">
        <v>25</v>
      </c>
      <c r="C41" s="6" t="s">
        <v>32</v>
      </c>
      <c r="D41" s="6" t="s">
        <v>29</v>
      </c>
      <c r="E41" s="23">
        <v>0</v>
      </c>
      <c r="F41" s="89">
        <f>E41/7</f>
        <v>0</v>
      </c>
      <c r="G41" s="87"/>
      <c r="H41" s="87"/>
      <c r="I41" s="87"/>
      <c r="J41" s="92">
        <v>0</v>
      </c>
      <c r="K41" s="88">
        <v>2</v>
      </c>
      <c r="L41" s="21" t="s">
        <v>93</v>
      </c>
      <c r="M41" s="1"/>
      <c r="N41" s="1"/>
      <c r="O41" s="1"/>
      <c r="P41" s="1"/>
      <c r="Q41" s="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spans="1:57" ht="21" x14ac:dyDescent="0.35">
      <c r="A42" s="1"/>
      <c r="B42" s="6">
        <v>26</v>
      </c>
      <c r="C42" s="4"/>
      <c r="D42" s="4"/>
      <c r="E42" s="7"/>
      <c r="F42" s="4"/>
      <c r="G42" s="4"/>
      <c r="H42" s="4"/>
      <c r="I42" s="4"/>
      <c r="J42" s="4"/>
      <c r="K42" s="4"/>
      <c r="L42" s="4"/>
      <c r="M42" s="1"/>
      <c r="N42" s="1"/>
      <c r="O42" s="1"/>
      <c r="P42" s="1"/>
      <c r="Q42" s="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spans="1:57" ht="21" x14ac:dyDescent="0.35">
      <c r="A43" s="1"/>
      <c r="B43" s="6">
        <v>27</v>
      </c>
      <c r="C43" s="4"/>
      <c r="D43" s="4"/>
      <c r="E43" s="7"/>
      <c r="F43" s="4"/>
      <c r="G43" s="4"/>
      <c r="H43" s="4"/>
      <c r="I43" s="4"/>
      <c r="J43" s="4"/>
      <c r="K43" s="4"/>
      <c r="L43" s="4"/>
      <c r="M43" s="1"/>
      <c r="N43" s="1"/>
      <c r="O43" s="1"/>
      <c r="P43" s="1"/>
      <c r="Q43" s="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spans="1:57" ht="21" x14ac:dyDescent="0.35">
      <c r="A44" s="1"/>
      <c r="B44" s="6">
        <v>28</v>
      </c>
      <c r="C44" s="4"/>
      <c r="D44" s="4"/>
      <c r="E44" s="7"/>
      <c r="F44" s="4"/>
      <c r="G44" s="4"/>
      <c r="H44" s="4"/>
      <c r="I44" s="4"/>
      <c r="J44" s="4"/>
      <c r="K44" s="4"/>
      <c r="L44" s="4"/>
      <c r="M44" s="1"/>
      <c r="N44" s="1"/>
      <c r="O44" s="1"/>
      <c r="P44" s="1"/>
      <c r="Q44" s="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spans="1:57" ht="21" x14ac:dyDescent="0.35">
      <c r="A45" s="1"/>
      <c r="B45" s="6">
        <v>29</v>
      </c>
      <c r="C45" s="4"/>
      <c r="D45" s="4"/>
      <c r="E45" s="7"/>
      <c r="F45" s="4"/>
      <c r="G45" s="4"/>
      <c r="H45" s="4"/>
      <c r="I45" s="4"/>
      <c r="J45" s="4"/>
      <c r="K45" s="4"/>
      <c r="L45" s="4"/>
      <c r="M45" s="1"/>
      <c r="N45" s="1"/>
      <c r="O45" s="1"/>
      <c r="P45" s="1"/>
      <c r="Q45" s="1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spans="1:57" ht="21" x14ac:dyDescent="0.35">
      <c r="A46" s="1"/>
      <c r="B46" s="6">
        <v>30</v>
      </c>
      <c r="C46" s="4"/>
      <c r="D46" s="4"/>
      <c r="E46" s="7"/>
      <c r="F46" s="4"/>
      <c r="G46" s="4"/>
      <c r="H46" s="4"/>
      <c r="I46" s="4"/>
      <c r="J46" s="4"/>
      <c r="K46" s="4"/>
      <c r="L46" s="4"/>
      <c r="M46" s="1"/>
      <c r="N46" s="1"/>
      <c r="O46" s="1"/>
      <c r="P46" s="1"/>
      <c r="Q46" s="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spans="1:57" ht="2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spans="1:57" ht="21" x14ac:dyDescent="0.35">
      <c r="A48" s="1"/>
      <c r="B48" s="77" t="s">
        <v>40</v>
      </c>
      <c r="C48" s="77"/>
      <c r="D48" s="10">
        <v>25</v>
      </c>
      <c r="E48" s="11">
        <f xml:space="preserve"> D48 / $D$48 * 100</f>
        <v>100</v>
      </c>
      <c r="F48" s="58" t="s">
        <v>95</v>
      </c>
      <c r="G48" s="59"/>
      <c r="H48" s="59"/>
      <c r="I48" s="59"/>
      <c r="J48" s="59"/>
      <c r="K48" s="59"/>
      <c r="L48" s="76"/>
      <c r="M48" s="1"/>
      <c r="N48" s="1"/>
      <c r="O48" s="1"/>
      <c r="P48" s="1"/>
      <c r="Q48" s="1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21" x14ac:dyDescent="0.35">
      <c r="A49" s="1"/>
      <c r="B49" s="77" t="s">
        <v>41</v>
      </c>
      <c r="C49" s="77"/>
      <c r="D49" s="10">
        <v>24</v>
      </c>
      <c r="E49" s="11">
        <f xml:space="preserve"> D49 / $D$48 * 100</f>
        <v>96</v>
      </c>
      <c r="F49" s="58" t="s">
        <v>50</v>
      </c>
      <c r="G49" s="59"/>
      <c r="H49" s="59"/>
      <c r="I49" s="14"/>
      <c r="J49" s="61" t="s">
        <v>51</v>
      </c>
      <c r="K49" s="61"/>
      <c r="L49" s="61"/>
      <c r="M49" s="1"/>
      <c r="N49" s="1"/>
      <c r="O49" s="1"/>
      <c r="P49" s="1"/>
      <c r="Q49" s="1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21" x14ac:dyDescent="0.35">
      <c r="A50" s="1"/>
      <c r="B50" s="77" t="s">
        <v>42</v>
      </c>
      <c r="C50" s="77"/>
      <c r="D50" s="77"/>
      <c r="E50" s="77"/>
      <c r="F50" s="55" t="s">
        <v>49</v>
      </c>
      <c r="G50" s="56"/>
      <c r="H50" s="56"/>
      <c r="I50" s="13" t="s">
        <v>7</v>
      </c>
      <c r="J50" s="60"/>
      <c r="K50" s="60"/>
      <c r="L50" s="60"/>
      <c r="M50" s="1"/>
      <c r="N50" s="1"/>
      <c r="O50" s="1"/>
      <c r="P50" s="1"/>
      <c r="Q50" s="1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1" x14ac:dyDescent="0.35">
      <c r="A51" s="1"/>
      <c r="B51" s="83" t="s">
        <v>43</v>
      </c>
      <c r="C51" s="84"/>
      <c r="D51" s="10">
        <v>14</v>
      </c>
      <c r="E51" s="11">
        <f xml:space="preserve"> D51 / $D$49 * 100</f>
        <v>58.333333333333336</v>
      </c>
      <c r="F51" s="58" t="s">
        <v>53</v>
      </c>
      <c r="G51" s="59"/>
      <c r="H51" s="59"/>
      <c r="I51" s="14"/>
      <c r="J51" s="60"/>
      <c r="K51" s="60"/>
      <c r="L51" s="60"/>
      <c r="M51" s="1"/>
      <c r="N51" s="1"/>
      <c r="O51" s="1"/>
      <c r="P51" s="1"/>
      <c r="Q51" s="1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21" x14ac:dyDescent="0.35">
      <c r="A52" s="1"/>
      <c r="B52" s="83" t="s">
        <v>44</v>
      </c>
      <c r="C52" s="84"/>
      <c r="D52" s="10">
        <v>4</v>
      </c>
      <c r="E52" s="11">
        <f xml:space="preserve"> D52 / $D$49 * 100</f>
        <v>16.666666666666664</v>
      </c>
      <c r="F52" s="55" t="s">
        <v>52</v>
      </c>
      <c r="G52" s="56"/>
      <c r="H52" s="56"/>
      <c r="I52" s="57"/>
      <c r="J52" s="60"/>
      <c r="K52" s="60"/>
      <c r="L52" s="60"/>
      <c r="M52" s="1"/>
      <c r="N52" s="1"/>
      <c r="O52" s="1"/>
      <c r="P52" s="1"/>
      <c r="Q52" s="1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spans="1:57" ht="21" x14ac:dyDescent="0.35">
      <c r="A53" s="1"/>
      <c r="B53" s="83" t="s">
        <v>45</v>
      </c>
      <c r="C53" s="84"/>
      <c r="D53" s="10">
        <v>2</v>
      </c>
      <c r="E53" s="11">
        <f xml:space="preserve"> D53 / $D$49 * 100</f>
        <v>8.3333333333333321</v>
      </c>
      <c r="F53" s="46"/>
      <c r="G53" s="47"/>
      <c r="H53" s="47"/>
      <c r="I53" s="48"/>
      <c r="J53" s="61" t="s">
        <v>51</v>
      </c>
      <c r="K53" s="61"/>
      <c r="L53" s="61"/>
      <c r="M53" s="1"/>
      <c r="N53" s="1"/>
      <c r="O53" s="1"/>
      <c r="P53" s="1"/>
      <c r="Q53" s="1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spans="1:57" ht="21" x14ac:dyDescent="0.35">
      <c r="B54" s="81" t="s">
        <v>46</v>
      </c>
      <c r="C54" s="82"/>
      <c r="D54" s="10">
        <v>4</v>
      </c>
      <c r="E54" s="11">
        <f xml:space="preserve"> D54 / $D$49 * 100</f>
        <v>16.666666666666664</v>
      </c>
      <c r="F54" s="46"/>
      <c r="G54" s="47"/>
      <c r="H54" s="47"/>
      <c r="I54" s="48"/>
      <c r="J54" s="75"/>
      <c r="K54" s="75"/>
      <c r="L54" s="75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spans="1:57" ht="21" x14ac:dyDescent="0.35">
      <c r="B55" s="78" t="s">
        <v>48</v>
      </c>
      <c r="C55" s="78"/>
      <c r="D55" s="79">
        <f>SUM(D51:D53)</f>
        <v>20</v>
      </c>
      <c r="E55" s="80">
        <f xml:space="preserve"> D55 / $D$49 * 100</f>
        <v>83.333333333333343</v>
      </c>
      <c r="F55" s="46"/>
      <c r="G55" s="47"/>
      <c r="H55" s="47"/>
      <c r="I55" s="48"/>
      <c r="J55" s="75"/>
      <c r="K55" s="75"/>
      <c r="L55" s="7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spans="1:57" ht="21" x14ac:dyDescent="0.35">
      <c r="B56" s="78"/>
      <c r="C56" s="78"/>
      <c r="D56" s="79"/>
      <c r="E56" s="80"/>
      <c r="F56" s="46"/>
      <c r="G56" s="47"/>
      <c r="H56" s="47"/>
      <c r="I56" s="48"/>
      <c r="J56" s="75"/>
      <c r="K56" s="75"/>
      <c r="L56" s="75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spans="1:57" ht="21" x14ac:dyDescent="0.35">
      <c r="B57" s="74" t="s">
        <v>47</v>
      </c>
      <c r="C57" s="74"/>
      <c r="D57" s="75" t="s">
        <v>96</v>
      </c>
      <c r="E57" s="75"/>
      <c r="F57" s="49"/>
      <c r="G57" s="50"/>
      <c r="H57" s="50"/>
      <c r="I57" s="51"/>
      <c r="J57" s="75"/>
      <c r="K57" s="75"/>
      <c r="L57" s="75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spans="1:57" ht="2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spans="1:57" ht="2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spans="1:57" ht="2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spans="1:57" ht="2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spans="1:57" ht="2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spans="1:57" ht="2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spans="1:57" ht="2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spans="2:57" ht="2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spans="2:57" ht="2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spans="2:57" ht="2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spans="2:57" ht="2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2:57" ht="2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spans="2:57" ht="2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spans="2:57" ht="2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spans="2:57" ht="2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spans="2:57" ht="2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 spans="2:57" ht="2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 spans="2:57" ht="2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 spans="2:57" ht="2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 spans="2:57" ht="2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</row>
    <row r="78" spans="2:57" ht="2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</row>
    <row r="79" spans="2:57" ht="2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</row>
    <row r="80" spans="2:57" ht="2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</row>
    <row r="81" spans="2:57" ht="2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</row>
    <row r="82" spans="2:57" ht="2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</row>
    <row r="83" spans="2:57" ht="2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 spans="2:57" ht="2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spans="2:57" ht="2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spans="2:57" ht="2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 spans="2:57" ht="2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 spans="2:57" ht="2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</row>
    <row r="89" spans="2:57" ht="2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</row>
    <row r="90" spans="2:57" ht="2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</row>
    <row r="91" spans="2:57" ht="2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</row>
    <row r="92" spans="2:57" ht="2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</row>
    <row r="93" spans="2:57" ht="2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</row>
    <row r="94" spans="2:57" ht="2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</row>
    <row r="95" spans="2:57" ht="2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</row>
    <row r="96" spans="2:57" ht="2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</row>
    <row r="97" spans="2:57" ht="2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</row>
    <row r="98" spans="2:57" ht="2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</row>
    <row r="99" spans="2:57" ht="2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</row>
    <row r="100" spans="2:57" ht="2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</row>
    <row r="101" spans="2:57" ht="2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</row>
    <row r="102" spans="2:57" ht="2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</row>
    <row r="103" spans="2:57" ht="2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</row>
    <row r="104" spans="2:57" ht="2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</row>
    <row r="105" spans="2:57" ht="2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</row>
    <row r="106" spans="2:57" ht="2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</row>
    <row r="107" spans="2:57" ht="2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</row>
    <row r="108" spans="2:57" ht="2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</row>
    <row r="109" spans="2:57" ht="2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</row>
    <row r="110" spans="2:57" ht="2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</row>
    <row r="111" spans="2:57" ht="2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</row>
    <row r="112" spans="2:57" ht="2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</row>
    <row r="113" spans="2:57" ht="2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</row>
    <row r="114" spans="2:57" ht="2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</row>
    <row r="115" spans="2:57" ht="2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</row>
    <row r="116" spans="2:57" ht="2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</row>
    <row r="117" spans="2:57" ht="2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</row>
    <row r="118" spans="2:57" ht="2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</row>
    <row r="119" spans="2:57" ht="2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</row>
    <row r="120" spans="2:57" ht="2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</row>
    <row r="121" spans="2:57" ht="2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</row>
    <row r="122" spans="2:57" ht="2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</row>
    <row r="123" spans="2:57" ht="2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</row>
    <row r="124" spans="2:57" ht="2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</row>
    <row r="125" spans="2:57" ht="2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</row>
    <row r="126" spans="2:57" ht="2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</row>
    <row r="127" spans="2:57" ht="2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</row>
    <row r="128" spans="2:57" ht="2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</row>
    <row r="129" spans="2:57" ht="2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</row>
    <row r="130" spans="2:57" ht="2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</row>
    <row r="131" spans="2:57" ht="2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</row>
    <row r="132" spans="2:57" ht="2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</row>
    <row r="133" spans="2:57" ht="2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</row>
    <row r="134" spans="2:57" ht="2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</row>
    <row r="135" spans="2:57" ht="2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</row>
    <row r="136" spans="2:57" ht="2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</row>
    <row r="137" spans="2:57" ht="2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</row>
    <row r="138" spans="2:57" ht="2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</row>
    <row r="139" spans="2:57" ht="2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</row>
    <row r="140" spans="2:57" ht="2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</row>
    <row r="141" spans="2:57" ht="2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</row>
    <row r="142" spans="2:57" ht="2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</row>
    <row r="143" spans="2:57" ht="2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</row>
    <row r="144" spans="2:57" ht="2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</row>
    <row r="145" spans="2:57" ht="2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</row>
    <row r="146" spans="2:57" ht="2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</row>
    <row r="147" spans="2:57" ht="2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</row>
    <row r="148" spans="2:57" ht="2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</row>
    <row r="149" spans="2:57" ht="2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</row>
    <row r="150" spans="2:57" ht="2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</row>
    <row r="151" spans="2:57" ht="2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</row>
    <row r="152" spans="2:57" ht="2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</row>
    <row r="153" spans="2:57" ht="2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</row>
    <row r="154" spans="2:57" ht="2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</row>
    <row r="155" spans="2:57" ht="2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</row>
    <row r="156" spans="2:57" ht="2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</row>
    <row r="157" spans="2:57" ht="2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</row>
    <row r="158" spans="2:57" ht="2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</row>
    <row r="159" spans="2:57" ht="2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</row>
    <row r="160" spans="2:57" ht="2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</row>
    <row r="161" spans="2:57" ht="2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</row>
    <row r="162" spans="2:57" ht="2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</row>
    <row r="163" spans="2:57" ht="2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</row>
    <row r="164" spans="2:57" ht="2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</row>
    <row r="165" spans="2:57" ht="2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</row>
    <row r="166" spans="2:57" ht="2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</row>
    <row r="167" spans="2:57" ht="2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</row>
    <row r="168" spans="2:57" ht="2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</row>
    <row r="169" spans="2:57" ht="2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</row>
    <row r="170" spans="2:57" ht="2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</row>
    <row r="171" spans="2:57" ht="2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</row>
    <row r="172" spans="2:57" ht="2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</row>
    <row r="173" spans="2:57" ht="2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</row>
    <row r="174" spans="2:57" ht="2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</row>
    <row r="175" spans="2:57" ht="2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</row>
    <row r="176" spans="2:57" ht="2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</row>
    <row r="177" spans="2:57" ht="2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</row>
    <row r="178" spans="2:57" ht="2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</row>
    <row r="179" spans="2:57" ht="2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</row>
    <row r="180" spans="2:57" ht="2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</row>
    <row r="181" spans="2:57" ht="2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</row>
    <row r="182" spans="2:57" ht="2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</row>
    <row r="183" spans="2:57" ht="2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</row>
    <row r="184" spans="2:57" ht="2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</row>
    <row r="185" spans="2:57" ht="2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</row>
    <row r="186" spans="2:57" ht="2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</row>
    <row r="187" spans="2:57" ht="2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</row>
    <row r="188" spans="2:57" ht="2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</row>
    <row r="189" spans="2:57" ht="2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</row>
    <row r="190" spans="2:57" ht="2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</row>
    <row r="191" spans="2:57" ht="2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</row>
    <row r="192" spans="2:57" ht="2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</row>
    <row r="193" spans="2:57" ht="2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</row>
    <row r="194" spans="2:57" ht="2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</row>
    <row r="195" spans="2:57" ht="2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</row>
    <row r="196" spans="2:57" ht="2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</row>
    <row r="197" spans="2:57" ht="2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</row>
    <row r="198" spans="2:57" ht="2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</row>
    <row r="199" spans="2:57" ht="2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</row>
    <row r="200" spans="2:57" ht="2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</row>
    <row r="201" spans="2:57" ht="2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</row>
    <row r="202" spans="2:57" ht="2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</row>
    <row r="203" spans="2:57" ht="2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</row>
    <row r="204" spans="2:57" ht="2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</row>
    <row r="205" spans="2:57" ht="2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</row>
    <row r="206" spans="2:57" ht="2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</row>
    <row r="207" spans="2:57" ht="2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</row>
    <row r="208" spans="2:57" ht="2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</row>
    <row r="209" spans="2:57" ht="2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</row>
    <row r="210" spans="2:57" ht="2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</row>
    <row r="211" spans="2:57" ht="2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</row>
    <row r="212" spans="2:57" ht="2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</row>
    <row r="213" spans="2:57" ht="2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</row>
    <row r="214" spans="2:57" ht="2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</row>
    <row r="215" spans="2:57" ht="2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</row>
    <row r="216" spans="2:57" ht="2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</row>
    <row r="217" spans="2:57" ht="2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</row>
    <row r="218" spans="2:57" ht="2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</row>
    <row r="219" spans="2:57" ht="2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</row>
    <row r="220" spans="2:57" ht="2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</row>
    <row r="221" spans="2:57" ht="2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</row>
    <row r="222" spans="2:57" ht="2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</row>
    <row r="223" spans="2:57" ht="2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</row>
    <row r="224" spans="2:57" ht="2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</row>
    <row r="225" spans="2:57" ht="2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</row>
    <row r="226" spans="2:57" ht="2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</row>
    <row r="227" spans="2:57" ht="2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</row>
    <row r="228" spans="2:57" ht="2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</row>
    <row r="229" spans="2:57" ht="2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</row>
    <row r="230" spans="2:57" ht="2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</row>
    <row r="231" spans="2:57" ht="2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</row>
    <row r="232" spans="2:57" ht="2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</row>
    <row r="233" spans="2:57" ht="2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</row>
    <row r="234" spans="2:57" ht="2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</row>
    <row r="235" spans="2:57" ht="2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</row>
    <row r="236" spans="2:57" ht="2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</row>
    <row r="237" spans="2:57" ht="2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</row>
    <row r="238" spans="2:57" ht="2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</row>
    <row r="239" spans="2:57" ht="2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</row>
    <row r="240" spans="2:57" ht="2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</row>
    <row r="241" spans="2:57" ht="2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</row>
    <row r="242" spans="2:57" ht="2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</row>
    <row r="243" spans="2:57" ht="2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</row>
    <row r="244" spans="2:57" ht="2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</row>
    <row r="245" spans="2:57" ht="2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</row>
    <row r="246" spans="2:57" ht="2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</row>
    <row r="247" spans="2:57" ht="2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</row>
    <row r="248" spans="2:57" ht="2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</row>
    <row r="249" spans="2:57" ht="2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</row>
    <row r="250" spans="2:57" ht="2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</row>
    <row r="251" spans="2:57" ht="2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</row>
    <row r="252" spans="2:57" ht="2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</row>
    <row r="253" spans="2:57" ht="2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</row>
    <row r="254" spans="2:57" ht="2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</row>
    <row r="255" spans="2:57" ht="2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</row>
    <row r="256" spans="2:57" ht="2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</row>
    <row r="257" spans="2:57" ht="2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</row>
    <row r="258" spans="2:57" ht="2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</row>
    <row r="259" spans="2:57" ht="2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</row>
    <row r="260" spans="2:57" ht="2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</row>
    <row r="261" spans="2:57" ht="2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</row>
    <row r="262" spans="2:57" ht="2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</row>
    <row r="263" spans="2:57" ht="2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</row>
    <row r="264" spans="2:57" ht="2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</row>
    <row r="265" spans="2:57" ht="2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</row>
    <row r="266" spans="2:57" ht="2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</row>
    <row r="267" spans="2:57" ht="2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</row>
    <row r="268" spans="2:57" ht="2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</row>
    <row r="269" spans="2:57" ht="2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</row>
    <row r="270" spans="2:57" ht="2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</row>
    <row r="271" spans="2:57" ht="2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</row>
    <row r="272" spans="2:57" ht="2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</row>
    <row r="273" spans="2:57" ht="2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</row>
    <row r="274" spans="2:57" ht="2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</row>
    <row r="275" spans="2:57" ht="2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</row>
    <row r="276" spans="2:57" ht="2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</row>
    <row r="277" spans="2:57" ht="2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</row>
    <row r="278" spans="2:57" ht="2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</row>
    <row r="279" spans="2:57" ht="2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</row>
    <row r="280" spans="2:57" ht="2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</row>
    <row r="281" spans="2:57" ht="2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</row>
    <row r="282" spans="2:57" ht="2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</row>
    <row r="283" spans="2:57" ht="2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</row>
    <row r="284" spans="2:57" ht="2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</row>
    <row r="285" spans="2:57" ht="2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</row>
    <row r="286" spans="2:57" ht="2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</row>
    <row r="287" spans="2:57" ht="2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</row>
    <row r="288" spans="2:57" ht="2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</row>
    <row r="289" spans="2:57" ht="2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</row>
    <row r="290" spans="2:57" ht="2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</row>
    <row r="291" spans="2:57" ht="2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</row>
    <row r="292" spans="2:57" ht="2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</row>
    <row r="293" spans="2:57" ht="2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</row>
    <row r="294" spans="2:57" ht="2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</row>
    <row r="295" spans="2:57" ht="2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</row>
    <row r="296" spans="2:57" ht="2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</row>
    <row r="297" spans="2:57" ht="2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</row>
    <row r="298" spans="2:57" ht="2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</row>
    <row r="299" spans="2:57" ht="2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</row>
    <row r="300" spans="2:57" ht="2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</row>
    <row r="301" spans="2:57" ht="2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</row>
    <row r="302" spans="2:57" ht="2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</row>
    <row r="303" spans="2:57" ht="2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</row>
    <row r="304" spans="2:57" ht="2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</row>
    <row r="305" spans="2:57" ht="2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</row>
    <row r="306" spans="2:57" ht="2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</row>
    <row r="307" spans="2:57" ht="2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</row>
    <row r="308" spans="2:57" ht="2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</row>
    <row r="309" spans="2:57" ht="2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</row>
    <row r="310" spans="2:57" ht="2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</row>
    <row r="311" spans="2:57" ht="2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</row>
    <row r="312" spans="2:57" ht="2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</row>
    <row r="313" spans="2:57" ht="2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</row>
    <row r="314" spans="2:57" ht="2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</row>
    <row r="315" spans="2:57" ht="2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</row>
    <row r="316" spans="2:57" ht="2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</row>
    <row r="317" spans="2:57" ht="2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</row>
    <row r="318" spans="2:57" ht="2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</row>
    <row r="319" spans="2:57" ht="2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</row>
    <row r="320" spans="2:57" ht="2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</row>
    <row r="321" spans="2:57" ht="2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</row>
    <row r="322" spans="2:57" ht="2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</row>
    <row r="323" spans="2:57" ht="2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</row>
    <row r="324" spans="2:57" ht="2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</row>
    <row r="325" spans="2:57" ht="2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</row>
    <row r="326" spans="2:57" ht="2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</row>
    <row r="327" spans="2:57" ht="2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</row>
    <row r="328" spans="2:57" ht="2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</row>
    <row r="329" spans="2:57" ht="2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</row>
    <row r="330" spans="2:57" ht="2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</row>
    <row r="331" spans="2:57" ht="2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</row>
    <row r="332" spans="2:57" ht="2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</row>
    <row r="333" spans="2:57" ht="2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</row>
    <row r="334" spans="2:57" ht="2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</row>
    <row r="335" spans="2:57" ht="2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</row>
    <row r="336" spans="2:57" ht="2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</row>
    <row r="337" spans="2:57" ht="2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</row>
    <row r="338" spans="2:57" ht="2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</row>
    <row r="339" spans="2:57" ht="2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</row>
    <row r="340" spans="2:57" ht="2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</row>
    <row r="341" spans="2:57" ht="2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</row>
    <row r="342" spans="2:57" ht="2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</row>
    <row r="343" spans="2:57" ht="2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</row>
    <row r="344" spans="2:57" ht="2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</row>
    <row r="345" spans="2:57" ht="2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</row>
    <row r="346" spans="2:57" ht="2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</row>
    <row r="347" spans="2:57" ht="2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</row>
    <row r="348" spans="2:57" ht="2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</row>
    <row r="349" spans="2:57" ht="2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</row>
    <row r="350" spans="2:57" ht="2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</row>
    <row r="351" spans="2:57" ht="2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</row>
    <row r="352" spans="2:57" ht="2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</row>
    <row r="353" spans="2:57" ht="2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</row>
    <row r="354" spans="2:57" ht="2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</row>
    <row r="355" spans="2:57" ht="2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</row>
    <row r="356" spans="2:57" ht="2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</row>
    <row r="357" spans="2:57" ht="2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</row>
    <row r="358" spans="2:57" ht="2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</row>
    <row r="359" spans="2:57" ht="2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</row>
    <row r="360" spans="2:57" ht="2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</row>
    <row r="361" spans="2:57" ht="2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</row>
    <row r="362" spans="2:57" ht="2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</row>
    <row r="363" spans="2:57" ht="2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</row>
    <row r="364" spans="2:57" ht="2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</row>
    <row r="365" spans="2:57" ht="2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</row>
    <row r="366" spans="2:57" ht="2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</row>
    <row r="367" spans="2:57" ht="2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</row>
    <row r="368" spans="2:57" ht="2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</row>
    <row r="369" spans="2:57" ht="2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</row>
    <row r="370" spans="2:57" ht="2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</row>
    <row r="371" spans="2:57" ht="2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</row>
    <row r="372" spans="2:57" ht="2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</row>
    <row r="373" spans="2:57" ht="2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</row>
    <row r="374" spans="2:57" ht="2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</row>
    <row r="375" spans="2:57" ht="2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</row>
    <row r="376" spans="2:57" ht="2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</row>
    <row r="377" spans="2:57" ht="2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</row>
    <row r="378" spans="2:57" ht="2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</row>
    <row r="379" spans="2:57" ht="2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</row>
    <row r="380" spans="2:57" ht="2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</row>
    <row r="381" spans="2:57" ht="2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</row>
    <row r="382" spans="2:57" ht="2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</row>
    <row r="383" spans="2:57" ht="2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</row>
    <row r="384" spans="2:57" ht="2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</row>
    <row r="385" spans="2:57" ht="2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</row>
    <row r="386" spans="2:57" ht="2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</row>
    <row r="387" spans="2:57" ht="2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</row>
    <row r="388" spans="2:57" ht="2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</row>
    <row r="389" spans="2:57" ht="2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</row>
    <row r="390" spans="2:57" ht="2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</row>
    <row r="391" spans="2:57" ht="2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</row>
    <row r="392" spans="2:57" ht="2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</row>
    <row r="393" spans="2:57" ht="2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</row>
    <row r="394" spans="2:57" ht="2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</row>
    <row r="395" spans="2:57" ht="2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</row>
    <row r="396" spans="2:57" ht="2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</row>
    <row r="397" spans="2:57" ht="2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</row>
    <row r="398" spans="2:57" ht="2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</row>
    <row r="399" spans="2:57" ht="2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</row>
    <row r="400" spans="2:57" ht="2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</row>
    <row r="401" spans="2:57" ht="2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</row>
    <row r="402" spans="2:57" ht="2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</row>
    <row r="403" spans="2:57" ht="2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</row>
    <row r="404" spans="2:57" ht="2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</row>
    <row r="405" spans="2:57" ht="2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</row>
    <row r="406" spans="2:57" ht="2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</row>
    <row r="407" spans="2:57" ht="2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</row>
    <row r="408" spans="2:57" ht="2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</row>
    <row r="409" spans="2:57" ht="2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</row>
    <row r="410" spans="2:57" ht="2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</row>
    <row r="411" spans="2:57" ht="2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</row>
    <row r="412" spans="2:57" ht="2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</row>
    <row r="413" spans="2:57" ht="2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</row>
    <row r="414" spans="2:57" ht="2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</row>
    <row r="415" spans="2:57" ht="2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</row>
    <row r="416" spans="2:57" ht="2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</row>
    <row r="417" spans="2:57" ht="2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</row>
    <row r="418" spans="2:57" ht="2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</row>
    <row r="419" spans="2:57" ht="2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</row>
    <row r="420" spans="2:57" ht="2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</row>
    <row r="421" spans="2:57" ht="2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</row>
    <row r="422" spans="2:57" ht="2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</row>
    <row r="423" spans="2:57" ht="2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</row>
    <row r="424" spans="2:57" ht="2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</row>
    <row r="425" spans="2:57" ht="2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</row>
    <row r="426" spans="2:57" ht="2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</row>
    <row r="427" spans="2:57" ht="2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</row>
    <row r="428" spans="2:57" ht="2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</row>
    <row r="429" spans="2:57" ht="2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</row>
    <row r="430" spans="2:57" ht="2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</row>
    <row r="431" spans="2:57" ht="2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</row>
    <row r="432" spans="2:57" ht="2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</row>
    <row r="433" spans="2:57" ht="2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</row>
    <row r="434" spans="2:57" ht="2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</row>
    <row r="435" spans="2:57" ht="2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</row>
    <row r="436" spans="2:57" ht="2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</row>
    <row r="437" spans="2:57" ht="2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</row>
    <row r="438" spans="2:57" ht="2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</row>
    <row r="439" spans="2:57" ht="2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</row>
    <row r="440" spans="2:57" ht="2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</row>
    <row r="441" spans="2:57" ht="2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</row>
    <row r="442" spans="2:57" ht="2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</row>
    <row r="443" spans="2:57" ht="2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</row>
    <row r="444" spans="2:57" ht="2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</row>
    <row r="445" spans="2:57" ht="2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</row>
    <row r="446" spans="2:57" ht="2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</row>
    <row r="447" spans="2:57" ht="2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</row>
    <row r="448" spans="2:57" ht="2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</row>
  </sheetData>
  <mergeCells count="55">
    <mergeCell ref="K15:K16"/>
    <mergeCell ref="E15:E16"/>
    <mergeCell ref="D15:D16"/>
    <mergeCell ref="E36:L36"/>
    <mergeCell ref="B48:C48"/>
    <mergeCell ref="B49:C49"/>
    <mergeCell ref="C15:C16"/>
    <mergeCell ref="B15:B16"/>
    <mergeCell ref="J15:J16"/>
    <mergeCell ref="G15:I16"/>
    <mergeCell ref="B57:C57"/>
    <mergeCell ref="D57:E57"/>
    <mergeCell ref="F49:H49"/>
    <mergeCell ref="F48:L48"/>
    <mergeCell ref="F50:H50"/>
    <mergeCell ref="J53:L53"/>
    <mergeCell ref="J54:L57"/>
    <mergeCell ref="B50:E50"/>
    <mergeCell ref="B55:C56"/>
    <mergeCell ref="D55:D56"/>
    <mergeCell ref="E55:E56"/>
    <mergeCell ref="B54:C54"/>
    <mergeCell ref="B53:C53"/>
    <mergeCell ref="B52:C52"/>
    <mergeCell ref="B51:C51"/>
    <mergeCell ref="S16:T16"/>
    <mergeCell ref="W16:Y16"/>
    <mergeCell ref="AA16:AC16"/>
    <mergeCell ref="F53:I57"/>
    <mergeCell ref="J5:K6"/>
    <mergeCell ref="J7:K7"/>
    <mergeCell ref="F52:I52"/>
    <mergeCell ref="F51:H51"/>
    <mergeCell ref="J50:L52"/>
    <mergeCell ref="J49:L49"/>
    <mergeCell ref="G9:H9"/>
    <mergeCell ref="E10:F10"/>
    <mergeCell ref="G10:I10"/>
    <mergeCell ref="L15:L16"/>
    <mergeCell ref="J11:K11"/>
    <mergeCell ref="F15:F16"/>
    <mergeCell ref="AF23:AM23"/>
    <mergeCell ref="AF22:AL22"/>
    <mergeCell ref="AC17:AD17"/>
    <mergeCell ref="AC18:AD18"/>
    <mergeCell ref="AC19:AD19"/>
    <mergeCell ref="AC20:AD20"/>
    <mergeCell ref="AI17:AJ17"/>
    <mergeCell ref="AI18:AJ18"/>
    <mergeCell ref="AI19:AJ19"/>
    <mergeCell ref="AI20:AJ20"/>
    <mergeCell ref="AG17:AH17"/>
    <mergeCell ref="AG18:AH18"/>
    <mergeCell ref="AG19:AH19"/>
    <mergeCell ref="AG20:AH20"/>
  </mergeCells>
  <pageMargins left="0.7" right="0.7" top="0.75" bottom="0.75" header="0.3" footer="0.3"/>
  <pageSetup paperSize="9" orientation="portrait" r:id="rId1"/>
  <ignoredErrors>
    <ignoredError sqref="D55" formulaRange="1"/>
    <ignoredError sqref="F22 F2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Ведомость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Cryday Games</dc:creator>
  <cp:lastModifiedBy>Cryday Games</cp:lastModifiedBy>
  <cp:lastPrinted>2025-11-02T20:37:48Z</cp:lastPrinted>
  <dcterms:created xsi:type="dcterms:W3CDTF">2025-11-02T19:28:09Z</dcterms:created>
  <dcterms:modified xsi:type="dcterms:W3CDTF">2025-11-20T12:35:01Z</dcterms:modified>
</cp:coreProperties>
</file>